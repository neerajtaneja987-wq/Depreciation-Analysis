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Naman\Desktop\Excel_Projects\Excel_Projects\"/>
    </mc:Choice>
  </mc:AlternateContent>
  <xr:revisionPtr revIDLastSave="0" documentId="13_ncr:1_{E2374D92-7D26-4BB9-9677-685D277B1B57}" xr6:coauthVersionLast="47" xr6:coauthVersionMax="47" xr10:uidLastSave="{00000000-0000-0000-0000-000000000000}"/>
  <bookViews>
    <workbookView xWindow="-108" yWindow="-108" windowWidth="23256" windowHeight="12456" xr2:uid="{00000000-000D-0000-FFFF-FFFF00000000}"/>
  </bookViews>
  <sheets>
    <sheet name="Information" sheetId="2" r:id="rId1"/>
    <sheet name="Summary report" sheetId="3" r:id="rId2"/>
    <sheet name="Depreciation Calculator" sheetId="1" r:id="rId3"/>
    <sheet name="Comparison" sheetId="4" r:id="rId4"/>
  </sheets>
  <definedNames>
    <definedName name="_xlchart.v1.0" hidden="1">Comparison!$A$1</definedName>
    <definedName name="_xlchart.v1.1" hidden="1">Comparison!$A$2:$A$11</definedName>
    <definedName name="_xlchart.v1.2" hidden="1">Comparison!$B$1</definedName>
    <definedName name="_xlchart.v1.3" hidden="1">Comparison!$B$2:$B$11</definedName>
    <definedName name="_xlchart.v1.4" hidden="1">Comparison!$C$1</definedName>
    <definedName name="_xlchart.v1.5" hidden="1">Comparison!$C$2:$C$11</definedName>
    <definedName name="_xlchart.v1.6" hidden="1">Comparison!$D$1</definedName>
    <definedName name="_xlchart.v1.7" hidden="1">Comparison!$D$2:$D$11</definedName>
  </definedNames>
  <calcPr calcId="191029"/>
</workbook>
</file>

<file path=xl/calcChain.xml><?xml version="1.0" encoding="utf-8"?>
<calcChain xmlns="http://schemas.openxmlformats.org/spreadsheetml/2006/main">
  <c r="D3" i="4" l="1"/>
  <c r="D4" i="4"/>
  <c r="D5" i="4"/>
  <c r="D6" i="4"/>
  <c r="D7" i="4"/>
  <c r="D8" i="4"/>
  <c r="D9" i="4"/>
  <c r="D10" i="4"/>
  <c r="D11" i="4"/>
  <c r="D2" i="4"/>
  <c r="B19" i="3"/>
  <c r="C38" i="3" s="1"/>
  <c r="B12" i="3"/>
  <c r="B14" i="3" s="1"/>
  <c r="B15" i="3" s="1"/>
  <c r="B6" i="3"/>
  <c r="C23" i="3" s="1"/>
  <c r="D27" i="1"/>
  <c r="D26" i="1"/>
  <c r="C26" i="1"/>
  <c r="D20" i="1"/>
  <c r="D23" i="1" s="1"/>
  <c r="D8" i="1"/>
  <c r="B40" i="3" l="1"/>
  <c r="B16" i="3"/>
  <c r="B23" i="3"/>
  <c r="C37" i="3" s="1"/>
  <c r="C24" i="3"/>
  <c r="B13" i="3"/>
  <c r="B38" i="3" s="1"/>
  <c r="B37" i="3"/>
  <c r="C27" i="1"/>
  <c r="D28" i="1" s="1"/>
  <c r="D11" i="1"/>
  <c r="D12" i="1" s="1"/>
  <c r="B24" i="3" l="1"/>
  <c r="C25" i="3"/>
  <c r="D13" i="1"/>
  <c r="B25" i="3" l="1"/>
  <c r="C26" i="3" s="1"/>
  <c r="D14" i="1"/>
  <c r="D15" i="1" s="1"/>
  <c r="C28" i="1"/>
  <c r="D29" i="1" s="1"/>
  <c r="B26" i="3" l="1"/>
  <c r="C27" i="3" s="1"/>
  <c r="C29" i="1"/>
  <c r="D30" i="1" s="1"/>
  <c r="B27" i="3" l="1"/>
  <c r="C28" i="3" s="1"/>
  <c r="D31" i="1"/>
  <c r="C30" i="1"/>
  <c r="B28" i="3" l="1"/>
  <c r="C29" i="3" s="1"/>
  <c r="D32" i="1"/>
  <c r="C31" i="1"/>
  <c r="B29" i="3" l="1"/>
  <c r="C30" i="3" s="1"/>
  <c r="D33" i="1"/>
  <c r="C32" i="1"/>
  <c r="B30" i="3" l="1"/>
  <c r="C31" i="3" s="1"/>
  <c r="D34" i="1"/>
  <c r="C33" i="1"/>
  <c r="B31" i="3" l="1"/>
  <c r="C32" i="3" s="1"/>
  <c r="D35" i="1"/>
  <c r="C34" i="1"/>
  <c r="B32" i="3" l="1"/>
  <c r="C40" i="3" s="1"/>
  <c r="C35" i="1"/>
  <c r="D3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MD</author>
  </authors>
  <commentList>
    <comment ref="D9" authorId="0" shapeId="0" xr:uid="{00000000-0006-0000-0100-000001000000}">
      <text>
        <r>
          <rPr>
            <b/>
            <sz val="9"/>
            <color indexed="81"/>
            <rFont val="Tahoma"/>
            <family val="2"/>
          </rPr>
          <t>In case of no scrap value, please put zero value.</t>
        </r>
      </text>
    </comment>
    <comment ref="D15" authorId="1" shapeId="0" xr:uid="{00000000-0006-0000-0100-000002000000}">
      <text>
        <r>
          <rPr>
            <b/>
            <sz val="9"/>
            <color indexed="81"/>
            <rFont val="Tahoma"/>
            <family val="2"/>
          </rPr>
          <t>Accuracy Check - This cell must be zero.</t>
        </r>
      </text>
    </comment>
    <comment ref="D21" authorId="0" shapeId="0" xr:uid="{00000000-0006-0000-0100-000003000000}">
      <text>
        <r>
          <rPr>
            <b/>
            <sz val="9"/>
            <color indexed="81"/>
            <rFont val="Tahoma"/>
            <family val="2"/>
          </rPr>
          <t>In case of diminishing depreciation scrap value cannot be zero</t>
        </r>
      </text>
    </comment>
  </commentList>
</comments>
</file>

<file path=xl/sharedStrings.xml><?xml version="1.0" encoding="utf-8"?>
<sst xmlns="http://schemas.openxmlformats.org/spreadsheetml/2006/main" count="69" uniqueCount="57">
  <si>
    <t>Asset Price</t>
  </si>
  <si>
    <t>Scrap Value</t>
  </si>
  <si>
    <t>Estimated Life Span (Years)</t>
  </si>
  <si>
    <t>Book Value</t>
  </si>
  <si>
    <t>Depreciated Book Value After Its Life Span</t>
  </si>
  <si>
    <t>Total Depreciation For Its Life Span</t>
  </si>
  <si>
    <t>Balance Amount</t>
  </si>
  <si>
    <t>Year</t>
  </si>
  <si>
    <t>Depreciation Calculator</t>
  </si>
  <si>
    <t>Depreciation / Year as per Straight Line Method</t>
  </si>
  <si>
    <t>Rate of Depreciation as per Diminishing Balance Method</t>
  </si>
  <si>
    <t>Asset Cost</t>
  </si>
  <si>
    <t>Depreciation Percentage</t>
  </si>
  <si>
    <t>Additonal Asset Cost</t>
  </si>
  <si>
    <t xml:space="preserve">Additonal Asset Cost </t>
  </si>
  <si>
    <t>Depreciation Schedule</t>
  </si>
  <si>
    <t>Diminishing Balance Method</t>
  </si>
  <si>
    <t>Straight Line Method</t>
  </si>
  <si>
    <t>Year on Year Depreciation Amount</t>
  </si>
  <si>
    <t>Coachx.live</t>
  </si>
  <si>
    <t>Depreciation Analysis – Summary Report</t>
  </si>
  <si>
    <t>1. Asset Details</t>
  </si>
  <si>
    <t>Additional Asset Cost</t>
  </si>
  <si>
    <t>Total Asset Price</t>
  </si>
  <si>
    <t>Estimated Life (Years)</t>
  </si>
  <si>
    <t>2. Straight Line Method</t>
  </si>
  <si>
    <t>Annual Depreciation</t>
  </si>
  <si>
    <t>Total Depreciation</t>
  </si>
  <si>
    <t>Closing Book Value</t>
  </si>
  <si>
    <t>Accuracy Check</t>
  </si>
  <si>
    <t>3. Diminishing Balance Method</t>
  </si>
  <si>
    <t>Depreciation Rate</t>
  </si>
  <si>
    <t>Diminishing Balance Depreciation Schedule</t>
  </si>
  <si>
    <t>Depreciation</t>
  </si>
  <si>
    <t>Opening / Book Value</t>
  </si>
  <si>
    <t>4. Key Comparison &amp; Insights</t>
  </si>
  <si>
    <t>Method</t>
  </si>
  <si>
    <t>Straight Line</t>
  </si>
  <si>
    <t>Diminishing Balance</t>
  </si>
  <si>
    <t>Annual / Initial Depreciation</t>
  </si>
  <si>
    <t>Pattern</t>
  </si>
  <si>
    <t>Equal every year</t>
  </si>
  <si>
    <t>Higher initially, lower later</t>
  </si>
  <si>
    <t>5. Analysis / Insights</t>
  </si>
  <si>
    <t>• The total asset price is ₹5,00,000, including the additional asset cost.</t>
  </si>
  <si>
    <t>• The depreciable amount is ₹4,50,000 after considering the ₹50,000 scrap value.</t>
  </si>
  <si>
    <t>• Under the Straight Line Method, depreciation is constant at ₹45,000 per year.</t>
  </si>
  <si>
    <t>• The Straight Line depreciation rate is 9% of the asset price per year.</t>
  </si>
  <si>
    <t>• Under the Diminishing Balance Method, the calculated depreciation rate is approximately 20.57%.</t>
  </si>
  <si>
    <t>• The Diminishing Balance Method recognizes more depreciation in the earlier years and progressively less in later years.</t>
  </si>
  <si>
    <t>• Both methods are designed to bring the asset's carrying value down toward the estimated scrap value over its useful life.</t>
  </si>
  <si>
    <t>• The choice of method changes the timing of depreciation expense and therefore the pattern of book value reduction.</t>
  </si>
  <si>
    <t>6. Conclusion</t>
  </si>
  <si>
    <t>The analysis demonstrates the difference between the Straight Line and Diminishing Balance depreciation methods. Straight Line provides a consistent annual expense, while Diminishing Balance accelerates depreciation into the earlier years. The analysis can be used to understand how depreciation method selection affects annual expense and the carrying value of an asset.</t>
  </si>
  <si>
    <t xml:space="preserve"> Diminishing Balance Method</t>
  </si>
  <si>
    <t>Comparison in the yearly depriciation</t>
  </si>
  <si>
    <t>Balance value of assest as Scrap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</si>
</sst>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00_ ;[Red]\-[$$-409]#,##0.00\ "/>
    <numFmt numFmtId="165" formatCode="[$$-409]#,##0.00"/>
    <numFmt numFmtId="166" formatCode="\₹#,##0.00"/>
  </numFmts>
  <fonts count="15" x14ac:knownFonts="1">
    <font>
      <sz val="11"/>
      <color theme="1"/>
      <name val="Calibri"/>
      <family val="2"/>
      <scheme val="minor"/>
    </font>
    <font>
      <sz val="14"/>
      <color theme="1"/>
      <name val="Times New Roman"/>
      <family val="1"/>
    </font>
    <font>
      <b/>
      <sz val="9"/>
      <color indexed="81"/>
      <name val="Tahoma"/>
      <family val="2"/>
    </font>
    <font>
      <u/>
      <sz val="11"/>
      <color theme="10"/>
      <name val="Calibri"/>
      <family val="2"/>
    </font>
    <font>
      <sz val="14"/>
      <color theme="0"/>
      <name val="Times New Roman"/>
      <family val="1"/>
    </font>
    <font>
      <b/>
      <sz val="20"/>
      <color theme="0"/>
      <name val="Cambria"/>
      <family val="1"/>
      <scheme val="major"/>
    </font>
    <font>
      <b/>
      <sz val="14"/>
      <color theme="0"/>
      <name val="Times New Roman"/>
      <family val="1"/>
    </font>
    <font>
      <u/>
      <sz val="25"/>
      <color rgb="FFFFFF00"/>
      <name val="Lucida Calligraphy"/>
      <family val="4"/>
    </font>
    <font>
      <b/>
      <sz val="20"/>
      <color theme="0"/>
      <name val="Times New Roman"/>
      <family val="1"/>
    </font>
    <font>
      <b/>
      <sz val="18"/>
      <color theme="0"/>
      <name val="Times New Roman"/>
      <family val="1"/>
    </font>
    <font>
      <b/>
      <sz val="16"/>
      <color rgb="FFFFFFFF"/>
      <name val="Calibri"/>
    </font>
    <font>
      <b/>
      <sz val="12"/>
      <color rgb="FFFFFFFF"/>
      <name val="Calibri"/>
    </font>
    <font>
      <b/>
      <sz val="11"/>
      <name val="Calibri"/>
    </font>
    <font>
      <b/>
      <sz val="11"/>
      <color rgb="FFFFFFFF"/>
      <name val="Calibri"/>
    </font>
    <font>
      <b/>
      <sz val="11"/>
      <color theme="1"/>
      <name val="Calibri"/>
      <family val="2"/>
      <scheme val="minor"/>
    </font>
  </fonts>
  <fills count="8">
    <fill>
      <patternFill patternType="none"/>
    </fill>
    <fill>
      <patternFill patternType="gray125"/>
    </fill>
    <fill>
      <patternFill patternType="solid">
        <fgColor theme="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rgb="FF1F4E78"/>
      </patternFill>
    </fill>
    <fill>
      <patternFill patternType="solid">
        <fgColor rgb="FFD9EAF7"/>
      </patternFill>
    </fill>
    <fill>
      <patternFill patternType="solid">
        <fgColor rgb="FF5B9BD5"/>
      </patternFill>
    </fill>
  </fills>
  <borders count="8">
    <border>
      <left/>
      <right/>
      <top/>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diagonal/>
    </border>
    <border>
      <left style="thick">
        <color theme="0"/>
      </left>
      <right style="thick">
        <color theme="0"/>
      </right>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
      <left/>
      <right/>
      <top/>
      <bottom style="thin">
        <color rgb="FFB7B7B7"/>
      </bottom>
      <diagonal/>
    </border>
    <border>
      <left style="double">
        <color auto="1"/>
      </left>
      <right style="double">
        <color auto="1"/>
      </right>
      <top style="double">
        <color auto="1"/>
      </top>
      <bottom style="double">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39">
    <xf numFmtId="0" fontId="0" fillId="0" borderId="0" xfId="0"/>
    <xf numFmtId="0" fontId="1" fillId="0" borderId="0" xfId="0" applyFont="1" applyAlignment="1">
      <alignment horizontal="center" vertical="center"/>
    </xf>
    <xf numFmtId="0" fontId="4"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xf>
    <xf numFmtId="164" fontId="6" fillId="2" borderId="1" xfId="0" applyNumberFormat="1" applyFont="1" applyFill="1" applyBorder="1" applyAlignment="1">
      <alignment horizontal="center" vertical="center"/>
    </xf>
    <xf numFmtId="0" fontId="4" fillId="3" borderId="0" xfId="0" applyFont="1" applyFill="1" applyAlignment="1">
      <alignment horizontal="center" vertical="center"/>
    </xf>
    <xf numFmtId="10" fontId="6" fillId="2"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165" fontId="4" fillId="2" borderId="1" xfId="0" applyNumberFormat="1" applyFont="1" applyFill="1" applyBorder="1" applyAlignment="1">
      <alignment horizontal="center" vertical="center"/>
    </xf>
    <xf numFmtId="0" fontId="1" fillId="3" borderId="0" xfId="0" applyFont="1" applyFill="1" applyAlignment="1">
      <alignment horizontal="center" vertical="center"/>
    </xf>
    <xf numFmtId="164" fontId="6" fillId="4"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0" fontId="0" fillId="0" borderId="0" xfId="0" applyAlignment="1">
      <alignment vertical="center" wrapText="1"/>
    </xf>
    <xf numFmtId="0" fontId="12" fillId="6" borderId="6" xfId="0" applyFont="1" applyFill="1" applyBorder="1" applyAlignment="1">
      <alignment vertical="center" wrapText="1"/>
    </xf>
    <xf numFmtId="166" fontId="0" fillId="0" borderId="6" xfId="0" applyNumberFormat="1" applyBorder="1" applyAlignment="1">
      <alignment vertical="center" wrapText="1"/>
    </xf>
    <xf numFmtId="0" fontId="0" fillId="0" borderId="6" xfId="0" applyBorder="1" applyAlignment="1">
      <alignment vertical="center" wrapText="1"/>
    </xf>
    <xf numFmtId="0" fontId="12" fillId="6" borderId="0" xfId="0" applyFont="1" applyFill="1" applyAlignment="1">
      <alignment vertical="center" wrapText="1"/>
    </xf>
    <xf numFmtId="166" fontId="0" fillId="0" borderId="0" xfId="0" applyNumberFormat="1" applyAlignment="1">
      <alignment vertical="center" wrapText="1"/>
    </xf>
    <xf numFmtId="10" fontId="0" fillId="0" borderId="0" xfId="0" applyNumberFormat="1" applyAlignment="1">
      <alignment vertical="center" wrapText="1"/>
    </xf>
    <xf numFmtId="0" fontId="13" fillId="5" borderId="0" xfId="0" applyFont="1" applyFill="1" applyAlignment="1">
      <alignment vertical="center" wrapText="1"/>
    </xf>
    <xf numFmtId="0" fontId="13" fillId="7" borderId="6" xfId="0" applyFont="1" applyFill="1" applyBorder="1" applyAlignment="1">
      <alignment vertical="center" wrapText="1"/>
    </xf>
    <xf numFmtId="10" fontId="0" fillId="0" borderId="6" xfId="0" applyNumberFormat="1" applyBorder="1" applyAlignment="1">
      <alignment vertical="center" wrapText="1"/>
    </xf>
    <xf numFmtId="0" fontId="0" fillId="0" borderId="0" xfId="0" applyAlignment="1">
      <alignment vertical="center" wrapText="1"/>
    </xf>
    <xf numFmtId="0" fontId="10" fillId="5" borderId="0" xfId="0" applyFont="1" applyFill="1" applyAlignment="1">
      <alignment vertical="center" wrapText="1"/>
    </xf>
    <xf numFmtId="0" fontId="11" fillId="5" borderId="0" xfId="0" applyFont="1" applyFill="1" applyAlignment="1">
      <alignment vertical="center" wrapText="1"/>
    </xf>
    <xf numFmtId="0" fontId="13" fillId="7" borderId="0" xfId="0" applyFont="1" applyFill="1" applyAlignment="1">
      <alignment vertical="center" wrapText="1"/>
    </xf>
    <xf numFmtId="0" fontId="6" fillId="2" borderId="4" xfId="0" applyFont="1" applyFill="1" applyBorder="1" applyAlignment="1">
      <alignment horizontal="right" vertical="center" indent="4"/>
    </xf>
    <xf numFmtId="0" fontId="6" fillId="2" borderId="5" xfId="0" applyFont="1" applyFill="1" applyBorder="1" applyAlignment="1">
      <alignment horizontal="right" vertical="center" indent="4"/>
    </xf>
    <xf numFmtId="0" fontId="8" fillId="2" borderId="1" xfId="0" applyFont="1" applyFill="1" applyBorder="1" applyAlignment="1">
      <alignment horizontal="center" vertical="center"/>
    </xf>
    <xf numFmtId="0" fontId="6" fillId="2" borderId="1" xfId="0" applyFont="1" applyFill="1" applyBorder="1" applyAlignment="1">
      <alignment horizontal="right" vertical="center" indent="4"/>
    </xf>
    <xf numFmtId="0" fontId="7" fillId="2" borderId="1" xfId="1" applyFont="1" applyFill="1" applyBorder="1" applyAlignment="1" applyProtection="1">
      <alignment horizontal="center" vertical="center"/>
    </xf>
    <xf numFmtId="0" fontId="5"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6" fillId="2" borderId="1" xfId="0" applyFont="1" applyFill="1" applyBorder="1" applyAlignment="1">
      <alignment horizontal="right" vertical="center" wrapText="1" indent="4"/>
    </xf>
    <xf numFmtId="0" fontId="9" fillId="2" borderId="1" xfId="0" applyFont="1" applyFill="1" applyBorder="1" applyAlignment="1">
      <alignment horizontal="center" vertical="center"/>
    </xf>
    <xf numFmtId="0" fontId="0" fillId="0" borderId="0" xfId="0" applyAlignment="1">
      <alignment horizontal="center"/>
    </xf>
    <xf numFmtId="0" fontId="14" fillId="0" borderId="7" xfId="0" applyFont="1" applyBorder="1" applyAlignment="1">
      <alignment horizontal="center"/>
    </xf>
    <xf numFmtId="0" fontId="0" fillId="0" borderId="7" xfId="0" applyBorder="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Comparison!$A$1</c:f>
              <c:strCache>
                <c:ptCount val="1"/>
                <c:pt idx="0">
                  <c:v>Year</c:v>
                </c:pt>
              </c:strCache>
            </c:strRef>
          </c:tx>
          <c:spPr>
            <a:ln w="28575" cap="rnd">
              <a:solidFill>
                <a:schemeClr val="accent1"/>
              </a:solidFill>
              <a:round/>
            </a:ln>
            <a:effectLst/>
          </c:spPr>
          <c:marker>
            <c:symbol val="none"/>
          </c:marker>
          <c:val>
            <c:numRef>
              <c:f>Comparison!$A$2:$A$11</c:f>
              <c:numCache>
                <c:formatCode>General</c:formatCode>
                <c:ptCount val="10"/>
                <c:pt idx="0">
                  <c:v>1</c:v>
                </c:pt>
                <c:pt idx="1">
                  <c:v>2</c:v>
                </c:pt>
                <c:pt idx="2">
                  <c:v>3</c:v>
                </c:pt>
                <c:pt idx="3">
                  <c:v>4</c:v>
                </c:pt>
                <c:pt idx="4">
                  <c:v>5</c:v>
                </c:pt>
                <c:pt idx="5">
                  <c:v>6</c:v>
                </c:pt>
                <c:pt idx="6">
                  <c:v>7</c:v>
                </c:pt>
                <c:pt idx="7">
                  <c:v>8</c:v>
                </c:pt>
                <c:pt idx="8">
                  <c:v>9</c:v>
                </c:pt>
                <c:pt idx="9">
                  <c:v>10</c:v>
                </c:pt>
              </c:numCache>
            </c:numRef>
          </c:val>
          <c:smooth val="0"/>
          <c:extLst>
            <c:ext xmlns:c16="http://schemas.microsoft.com/office/drawing/2014/chart" uri="{C3380CC4-5D6E-409C-BE32-E72D297353CC}">
              <c16:uniqueId val="{00000000-4D2C-42FB-89AD-ED8FB906D7CC}"/>
            </c:ext>
          </c:extLst>
        </c:ser>
        <c:ser>
          <c:idx val="1"/>
          <c:order val="1"/>
          <c:tx>
            <c:strRef>
              <c:f>Comparison!$B$1</c:f>
              <c:strCache>
                <c:ptCount val="1"/>
                <c:pt idx="0">
                  <c:v> Diminishing Balance Method</c:v>
                </c:pt>
              </c:strCache>
            </c:strRef>
          </c:tx>
          <c:spPr>
            <a:ln w="28575" cap="rnd">
              <a:solidFill>
                <a:schemeClr val="accent2"/>
              </a:solidFill>
              <a:round/>
            </a:ln>
            <a:effectLst/>
          </c:spPr>
          <c:marker>
            <c:symbol val="none"/>
          </c:marker>
          <c:val>
            <c:numRef>
              <c:f>Comparison!$B$2:$B$11</c:f>
              <c:numCache>
                <c:formatCode>General</c:formatCode>
                <c:ptCount val="10"/>
                <c:pt idx="0">
                  <c:v>102835.88263785925</c:v>
                </c:pt>
                <c:pt idx="1">
                  <c:v>81685.445122044126</c:v>
                </c:pt>
                <c:pt idx="2">
                  <c:v>64885.05542646048</c:v>
                </c:pt>
                <c:pt idx="3">
                  <c:v>51540.031536887516</c:v>
                </c:pt>
                <c:pt idx="4">
                  <c:v>40939.70226832966</c:v>
                </c:pt>
                <c:pt idx="5">
                  <c:v>32519.561432939961</c:v>
                </c:pt>
                <c:pt idx="6">
                  <c:v>25831.205827035024</c:v>
                </c:pt>
                <c:pt idx="7">
                  <c:v>20518.456125388308</c:v>
                </c:pt>
                <c:pt idx="8">
                  <c:v>16298.389033347312</c:v>
                </c:pt>
                <c:pt idx="9">
                  <c:v>12946.27058970836</c:v>
                </c:pt>
              </c:numCache>
            </c:numRef>
          </c:val>
          <c:smooth val="0"/>
          <c:extLst>
            <c:ext xmlns:c16="http://schemas.microsoft.com/office/drawing/2014/chart" uri="{C3380CC4-5D6E-409C-BE32-E72D297353CC}">
              <c16:uniqueId val="{00000001-4D2C-42FB-89AD-ED8FB906D7CC}"/>
            </c:ext>
          </c:extLst>
        </c:ser>
        <c:ser>
          <c:idx val="2"/>
          <c:order val="2"/>
          <c:tx>
            <c:strRef>
              <c:f>Comparison!$C$1</c:f>
              <c:strCache>
                <c:ptCount val="1"/>
                <c:pt idx="0">
                  <c:v>Straight Line Method</c:v>
                </c:pt>
              </c:strCache>
            </c:strRef>
          </c:tx>
          <c:spPr>
            <a:ln w="28575" cap="rnd">
              <a:solidFill>
                <a:schemeClr val="accent3"/>
              </a:solidFill>
              <a:round/>
            </a:ln>
            <a:effectLst/>
          </c:spPr>
          <c:marker>
            <c:symbol val="none"/>
          </c:marker>
          <c:val>
            <c:numRef>
              <c:f>Comparison!$C$2:$C$11</c:f>
              <c:numCache>
                <c:formatCode>General</c:formatCode>
                <c:ptCount val="10"/>
                <c:pt idx="0">
                  <c:v>45000</c:v>
                </c:pt>
                <c:pt idx="1">
                  <c:v>45000</c:v>
                </c:pt>
                <c:pt idx="2">
                  <c:v>45000</c:v>
                </c:pt>
                <c:pt idx="3">
                  <c:v>45000</c:v>
                </c:pt>
                <c:pt idx="4">
                  <c:v>45000</c:v>
                </c:pt>
                <c:pt idx="5">
                  <c:v>45000</c:v>
                </c:pt>
                <c:pt idx="6">
                  <c:v>45000</c:v>
                </c:pt>
                <c:pt idx="7">
                  <c:v>45000</c:v>
                </c:pt>
                <c:pt idx="8">
                  <c:v>45000</c:v>
                </c:pt>
                <c:pt idx="9">
                  <c:v>45000</c:v>
                </c:pt>
              </c:numCache>
            </c:numRef>
          </c:val>
          <c:smooth val="0"/>
          <c:extLst>
            <c:ext xmlns:c16="http://schemas.microsoft.com/office/drawing/2014/chart" uri="{C3380CC4-5D6E-409C-BE32-E72D297353CC}">
              <c16:uniqueId val="{00000002-4D2C-42FB-89AD-ED8FB906D7CC}"/>
            </c:ext>
          </c:extLst>
        </c:ser>
        <c:ser>
          <c:idx val="3"/>
          <c:order val="3"/>
          <c:tx>
            <c:strRef>
              <c:f>Comparison!$D$1</c:f>
              <c:strCache>
                <c:ptCount val="1"/>
                <c:pt idx="0">
                  <c:v>Comparison in the yearly depriciation</c:v>
                </c:pt>
              </c:strCache>
            </c:strRef>
          </c:tx>
          <c:spPr>
            <a:ln w="28575" cap="rnd">
              <a:solidFill>
                <a:schemeClr val="accent4"/>
              </a:solidFill>
              <a:round/>
            </a:ln>
            <a:effectLst/>
          </c:spPr>
          <c:marker>
            <c:symbol val="none"/>
          </c:marker>
          <c:val>
            <c:numRef>
              <c:f>Comparison!$D$2:$D$11</c:f>
              <c:numCache>
                <c:formatCode>General</c:formatCode>
                <c:ptCount val="10"/>
                <c:pt idx="0">
                  <c:v>57835.882637859249</c:v>
                </c:pt>
                <c:pt idx="1">
                  <c:v>36685.445122044126</c:v>
                </c:pt>
                <c:pt idx="2">
                  <c:v>19885.05542646048</c:v>
                </c:pt>
                <c:pt idx="3">
                  <c:v>6540.0315368875163</c:v>
                </c:pt>
                <c:pt idx="4">
                  <c:v>-4060.29773167034</c:v>
                </c:pt>
                <c:pt idx="5">
                  <c:v>-12480.438567060039</c:v>
                </c:pt>
                <c:pt idx="6">
                  <c:v>-19168.794172964976</c:v>
                </c:pt>
                <c:pt idx="7">
                  <c:v>-24481.543874611692</c:v>
                </c:pt>
                <c:pt idx="8">
                  <c:v>-28701.61096665269</c:v>
                </c:pt>
                <c:pt idx="9">
                  <c:v>-32053.729410291642</c:v>
                </c:pt>
              </c:numCache>
            </c:numRef>
          </c:val>
          <c:smooth val="0"/>
          <c:extLst>
            <c:ext xmlns:c16="http://schemas.microsoft.com/office/drawing/2014/chart" uri="{C3380CC4-5D6E-409C-BE32-E72D297353CC}">
              <c16:uniqueId val="{00000003-4D2C-42FB-89AD-ED8FB906D7CC}"/>
            </c:ext>
          </c:extLst>
        </c:ser>
        <c:dLbls>
          <c:showLegendKey val="0"/>
          <c:showVal val="0"/>
          <c:showCatName val="0"/>
          <c:showSerName val="0"/>
          <c:showPercent val="0"/>
          <c:showBubbleSize val="0"/>
        </c:dLbls>
        <c:smooth val="0"/>
        <c:axId val="1351612384"/>
        <c:axId val="1321111920"/>
      </c:lineChart>
      <c:catAx>
        <c:axId val="135161238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111920"/>
        <c:crosses val="autoZero"/>
        <c:auto val="1"/>
        <c:lblAlgn val="ctr"/>
        <c:lblOffset val="100"/>
        <c:noMultiLvlLbl val="0"/>
      </c:catAx>
      <c:valAx>
        <c:axId val="1321111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612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361950</xdr:colOff>
      <xdr:row>1</xdr:row>
      <xdr:rowOff>28575</xdr:rowOff>
    </xdr:from>
    <xdr:to>
      <xdr:col>26</xdr:col>
      <xdr:colOff>247650</xdr:colOff>
      <xdr:row>5</xdr:row>
      <xdr:rowOff>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581150" y="219075"/>
          <a:ext cx="14516100" cy="73342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rgbClr val="7030A0"/>
              </a:solidFill>
              <a:effectLst/>
              <a:latin typeface="+mn-lt"/>
              <a:ea typeface="+mn-ea"/>
              <a:cs typeface="+mn-cs"/>
            </a:rPr>
            <a:t>     </a:t>
          </a:r>
          <a:r>
            <a:rPr lang="en-US" sz="3200" b="0" i="0">
              <a:solidFill>
                <a:srgbClr val="7030A0"/>
              </a:solidFill>
              <a:effectLst/>
              <a:latin typeface="+mn-lt"/>
              <a:ea typeface="+mn-ea"/>
              <a:cs typeface="+mn-cs"/>
            </a:rPr>
            <a:t>Comparative Analysis of Depreciation Methods: Straight-Line vs. Diminishing Balance</a:t>
          </a:r>
          <a:endParaRPr lang="en-US" sz="1100">
            <a:solidFill>
              <a:srgbClr val="7030A0"/>
            </a:solidFill>
          </a:endParaRPr>
        </a:p>
      </xdr:txBody>
    </xdr:sp>
    <xdr:clientData/>
  </xdr:twoCellAnchor>
  <xdr:twoCellAnchor>
    <xdr:from>
      <xdr:col>2</xdr:col>
      <xdr:colOff>314325</xdr:colOff>
      <xdr:row>7</xdr:row>
      <xdr:rowOff>57150</xdr:rowOff>
    </xdr:from>
    <xdr:to>
      <xdr:col>26</xdr:col>
      <xdr:colOff>438150</xdr:colOff>
      <xdr:row>36</xdr:row>
      <xdr:rowOff>152400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533525" y="1390650"/>
          <a:ext cx="14754225" cy="5619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rgbClr val="7030A0"/>
            </a:solidFill>
            <a:effectLst/>
          </a:endParaRPr>
        </a:p>
        <a:p>
          <a:r>
            <a:rPr lang="en-US" sz="2000" b="1" i="0">
              <a:solidFill>
                <a:srgbClr val="7030A0"/>
              </a:solidFill>
              <a:effectLst/>
              <a:latin typeface="+mn-lt"/>
              <a:ea typeface="+mn-ea"/>
              <a:cs typeface="+mn-cs"/>
            </a:rPr>
            <a:t>Point</a:t>
          </a:r>
          <a:r>
            <a:rPr lang="en-US" sz="2000" b="1" i="0" baseline="0">
              <a:solidFill>
                <a:srgbClr val="7030A0"/>
              </a:solidFill>
              <a:effectLst/>
              <a:latin typeface="+mn-lt"/>
              <a:ea typeface="+mn-ea"/>
              <a:cs typeface="+mn-cs"/>
            </a:rPr>
            <a:t>s to remember before starting this project:-</a:t>
          </a:r>
          <a:endParaRPr lang="en-US" sz="2000">
            <a:solidFill>
              <a:srgbClr val="7030A0"/>
            </a:solidFill>
            <a:effectLst/>
          </a:endParaRPr>
        </a:p>
        <a:p>
          <a:r>
            <a:rPr lang="en-US" sz="2000" b="1" i="0" baseline="0">
              <a:solidFill>
                <a:srgbClr val="7030A0"/>
              </a:solidFill>
              <a:effectLst/>
              <a:latin typeface="+mn-lt"/>
              <a:ea typeface="+mn-ea"/>
              <a:cs typeface="+mn-cs"/>
            </a:rPr>
            <a:t>Purpose of the project is to give you the fundamental ideas about how Depreciation methods  and terminologies works in Excel so imp thing is to go thorough this documentation very carefully and understand the tems.</a:t>
          </a:r>
          <a:endParaRPr lang="en-US" sz="2000">
            <a:solidFill>
              <a:srgbClr val="7030A0"/>
            </a:solidFill>
            <a:effectLst/>
          </a:endParaRPr>
        </a:p>
        <a:p>
          <a:r>
            <a:rPr lang="en-US" sz="2000" b="1" i="0" baseline="0">
              <a:solidFill>
                <a:srgbClr val="7030A0"/>
              </a:solidFill>
              <a:effectLst/>
              <a:latin typeface="+mn-lt"/>
              <a:ea typeface="+mn-ea"/>
              <a:cs typeface="+mn-cs"/>
            </a:rPr>
            <a:t>1. In Project Worksheets you dataset is already prepared  so you have to find the values and answers for given functions for solution please go through this sheet </a:t>
          </a:r>
          <a:endParaRPr lang="en-US" sz="2000">
            <a:solidFill>
              <a:srgbClr val="7030A0"/>
            </a:solidFill>
            <a:effectLst/>
          </a:endParaRPr>
        </a:p>
        <a:p>
          <a:r>
            <a:rPr lang="en-US" sz="2000" b="1" i="0" baseline="0">
              <a:solidFill>
                <a:srgbClr val="7030A0"/>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a:solidFill>
              <a:srgbClr val="7030A0"/>
            </a:solidFill>
            <a:effectLst/>
          </a:endParaRPr>
        </a:p>
        <a:p>
          <a:r>
            <a:rPr lang="en-US" sz="2000" b="1" i="0" baseline="0">
              <a:solidFill>
                <a:srgbClr val="7030A0"/>
              </a:solidFill>
              <a:effectLst/>
              <a:latin typeface="+mn-lt"/>
              <a:ea typeface="+mn-ea"/>
              <a:cs typeface="+mn-cs"/>
            </a:rPr>
            <a:t>3. After doing the anlalysis Create a Summary report that what insights and analysis you have find while doing this proects</a:t>
          </a:r>
          <a:endParaRPr lang="en-US" sz="2000">
            <a:solidFill>
              <a:srgbClr val="7030A0"/>
            </a:solidFill>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161926</xdr:colOff>
      <xdr:row>24</xdr:row>
      <xdr:rowOff>247651</xdr:rowOff>
    </xdr:from>
    <xdr:to>
      <xdr:col>10</xdr:col>
      <xdr:colOff>333376</xdr:colOff>
      <xdr:row>25</xdr:row>
      <xdr:rowOff>66676</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0934701" y="6686551"/>
          <a:ext cx="171450" cy="7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137160</xdr:colOff>
      <xdr:row>0</xdr:row>
      <xdr:rowOff>87630</xdr:rowOff>
    </xdr:from>
    <xdr:to>
      <xdr:col>12</xdr:col>
      <xdr:colOff>441960</xdr:colOff>
      <xdr:row>14</xdr:row>
      <xdr:rowOff>95250</xdr:rowOff>
    </xdr:to>
    <xdr:graphicFrame macro="">
      <xdr:nvGraphicFramePr>
        <xdr:cNvPr id="3" name="Chart 2">
          <a:extLst>
            <a:ext uri="{FF2B5EF4-FFF2-40B4-BE49-F238E27FC236}">
              <a16:creationId xmlns:a16="http://schemas.microsoft.com/office/drawing/2014/main" id="{13602459-5641-4DE8-589A-1BD6C525AD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topLeftCell="B1" zoomScale="67" workbookViewId="0">
      <selection activeCell="F41" sqref="F41:F42"/>
    </sheetView>
  </sheetViews>
  <sheetFormatPr defaultRowHeight="14.4" x14ac:dyDescent="0.3"/>
  <cols>
    <col min="1" max="1" width="9.10937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60DD0-CD40-48B1-A842-FEB97CE9C046}">
  <dimension ref="A1:F56"/>
  <sheetViews>
    <sheetView workbookViewId="0">
      <selection activeCell="B41" sqref="B41"/>
    </sheetView>
  </sheetViews>
  <sheetFormatPr defaultRowHeight="14.4" x14ac:dyDescent="0.3"/>
  <cols>
    <col min="1" max="1" width="34" customWidth="1"/>
    <col min="2" max="2" width="20" customWidth="1"/>
    <col min="3" max="3" width="24" customWidth="1"/>
    <col min="4" max="6" width="18" customWidth="1"/>
  </cols>
  <sheetData>
    <row r="1" spans="1:6" x14ac:dyDescent="0.3">
      <c r="A1" s="23" t="s">
        <v>20</v>
      </c>
      <c r="B1" s="22"/>
      <c r="C1" s="22"/>
      <c r="D1" s="22"/>
      <c r="E1" s="22"/>
      <c r="F1" s="22"/>
    </row>
    <row r="2" spans="1:6" x14ac:dyDescent="0.3">
      <c r="A2" s="12"/>
      <c r="B2" s="12"/>
      <c r="C2" s="12"/>
      <c r="D2" s="12"/>
      <c r="E2" s="12"/>
      <c r="F2" s="12"/>
    </row>
    <row r="3" spans="1:6" x14ac:dyDescent="0.3">
      <c r="A3" s="24" t="s">
        <v>21</v>
      </c>
      <c r="B3" s="22"/>
      <c r="C3" s="22"/>
      <c r="D3" s="22"/>
      <c r="E3" s="22"/>
      <c r="F3" s="22"/>
    </row>
    <row r="4" spans="1:6" x14ac:dyDescent="0.3">
      <c r="A4" s="13" t="s">
        <v>11</v>
      </c>
      <c r="B4" s="14">
        <v>450000</v>
      </c>
      <c r="C4" s="12"/>
      <c r="D4" s="12"/>
      <c r="E4" s="12"/>
      <c r="F4" s="12"/>
    </row>
    <row r="5" spans="1:6" x14ac:dyDescent="0.3">
      <c r="A5" s="13" t="s">
        <v>22</v>
      </c>
      <c r="B5" s="14">
        <v>50000</v>
      </c>
      <c r="C5" s="12"/>
      <c r="D5" s="12"/>
      <c r="E5" s="12"/>
      <c r="F5" s="12"/>
    </row>
    <row r="6" spans="1:6" x14ac:dyDescent="0.3">
      <c r="A6" s="13" t="s">
        <v>23</v>
      </c>
      <c r="B6" s="14">
        <f>B4+B5</f>
        <v>500000</v>
      </c>
      <c r="C6" s="12"/>
      <c r="D6" s="12"/>
      <c r="E6" s="12"/>
      <c r="F6" s="12"/>
    </row>
    <row r="7" spans="1:6" x14ac:dyDescent="0.3">
      <c r="A7" s="13" t="s">
        <v>1</v>
      </c>
      <c r="B7" s="14">
        <v>50000</v>
      </c>
      <c r="C7" s="12"/>
      <c r="D7" s="12"/>
      <c r="E7" s="12"/>
      <c r="F7" s="12"/>
    </row>
    <row r="8" spans="1:6" x14ac:dyDescent="0.3">
      <c r="A8" s="13" t="s">
        <v>24</v>
      </c>
      <c r="B8" s="15">
        <v>10</v>
      </c>
      <c r="C8" s="12"/>
      <c r="D8" s="12"/>
      <c r="E8" s="12"/>
      <c r="F8" s="12"/>
    </row>
    <row r="9" spans="1:6" x14ac:dyDescent="0.3">
      <c r="A9" s="12"/>
      <c r="B9" s="12"/>
      <c r="C9" s="12"/>
      <c r="D9" s="12"/>
      <c r="E9" s="12"/>
      <c r="F9" s="12"/>
    </row>
    <row r="10" spans="1:6" x14ac:dyDescent="0.3">
      <c r="A10" s="12"/>
      <c r="B10" s="12"/>
      <c r="C10" s="12"/>
      <c r="D10" s="12"/>
      <c r="E10" s="12"/>
      <c r="F10" s="12"/>
    </row>
    <row r="11" spans="1:6" x14ac:dyDescent="0.3">
      <c r="A11" s="24" t="s">
        <v>25</v>
      </c>
      <c r="B11" s="22"/>
      <c r="C11" s="22"/>
      <c r="D11" s="22"/>
      <c r="E11" s="22"/>
      <c r="F11" s="22"/>
    </row>
    <row r="12" spans="1:6" x14ac:dyDescent="0.3">
      <c r="A12" s="16" t="s">
        <v>26</v>
      </c>
      <c r="B12" s="17">
        <f>(B6-B7)/B8</f>
        <v>45000</v>
      </c>
      <c r="C12" s="12"/>
      <c r="D12" s="12"/>
      <c r="E12" s="12"/>
      <c r="F12" s="12"/>
    </row>
    <row r="13" spans="1:6" x14ac:dyDescent="0.3">
      <c r="A13" s="16" t="s">
        <v>12</v>
      </c>
      <c r="B13" s="18">
        <f>B12/B6</f>
        <v>0.09</v>
      </c>
      <c r="C13" s="12"/>
      <c r="D13" s="12"/>
      <c r="E13" s="12"/>
      <c r="F13" s="12"/>
    </row>
    <row r="14" spans="1:6" x14ac:dyDescent="0.3">
      <c r="A14" s="16" t="s">
        <v>27</v>
      </c>
      <c r="B14" s="17">
        <f>B12*B8</f>
        <v>450000</v>
      </c>
      <c r="C14" s="12"/>
      <c r="D14" s="12"/>
      <c r="E14" s="12"/>
      <c r="F14" s="12"/>
    </row>
    <row r="15" spans="1:6" x14ac:dyDescent="0.3">
      <c r="A15" s="16" t="s">
        <v>28</v>
      </c>
      <c r="B15" s="17">
        <f>B6-B14</f>
        <v>50000</v>
      </c>
      <c r="C15" s="12"/>
      <c r="D15" s="12"/>
      <c r="E15" s="12"/>
      <c r="F15" s="12"/>
    </row>
    <row r="16" spans="1:6" x14ac:dyDescent="0.3">
      <c r="A16" s="16" t="s">
        <v>29</v>
      </c>
      <c r="B16" s="17">
        <f>B15-B7</f>
        <v>0</v>
      </c>
      <c r="C16" s="12"/>
      <c r="D16" s="12"/>
      <c r="E16" s="12"/>
      <c r="F16" s="12"/>
    </row>
    <row r="17" spans="1:6" x14ac:dyDescent="0.3">
      <c r="A17" s="12"/>
      <c r="B17" s="12"/>
      <c r="C17" s="12"/>
      <c r="D17" s="12"/>
      <c r="E17" s="12"/>
      <c r="F17" s="12"/>
    </row>
    <row r="18" spans="1:6" x14ac:dyDescent="0.3">
      <c r="A18" s="24" t="s">
        <v>30</v>
      </c>
      <c r="B18" s="22"/>
      <c r="C18" s="22"/>
      <c r="D18" s="22"/>
      <c r="E18" s="22"/>
      <c r="F18" s="22"/>
    </row>
    <row r="19" spans="1:6" x14ac:dyDescent="0.3">
      <c r="A19" s="16" t="s">
        <v>31</v>
      </c>
      <c r="B19" s="18">
        <f>1-(B7/B6)^(1/B8)</f>
        <v>0.20567176527571851</v>
      </c>
      <c r="C19" s="12"/>
      <c r="D19" s="12"/>
      <c r="E19" s="12"/>
      <c r="F19" s="12"/>
    </row>
    <row r="20" spans="1:6" x14ac:dyDescent="0.3">
      <c r="A20" s="12"/>
      <c r="B20" s="12"/>
      <c r="C20" s="12"/>
      <c r="D20" s="12"/>
      <c r="E20" s="12"/>
      <c r="F20" s="12"/>
    </row>
    <row r="21" spans="1:6" x14ac:dyDescent="0.3">
      <c r="A21" s="25" t="s">
        <v>32</v>
      </c>
      <c r="B21" s="22"/>
      <c r="C21" s="22"/>
      <c r="D21" s="12"/>
      <c r="E21" s="12"/>
      <c r="F21" s="12"/>
    </row>
    <row r="22" spans="1:6" x14ac:dyDescent="0.3">
      <c r="A22" s="19" t="s">
        <v>7</v>
      </c>
      <c r="B22" s="19" t="s">
        <v>33</v>
      </c>
      <c r="C22" s="19" t="s">
        <v>34</v>
      </c>
      <c r="D22" s="12"/>
      <c r="E22" s="12"/>
      <c r="F22" s="12"/>
    </row>
    <row r="23" spans="1:6" x14ac:dyDescent="0.3">
      <c r="A23" s="12">
        <v>1</v>
      </c>
      <c r="B23" s="17">
        <f t="shared" ref="B23:B32" si="0">IF(C23&gt;$B$7,C23*$B$19,0)</f>
        <v>102835.88263785925</v>
      </c>
      <c r="C23" s="17">
        <f>$B$6</f>
        <v>500000</v>
      </c>
      <c r="D23" s="12"/>
      <c r="E23" s="12"/>
      <c r="F23" s="12"/>
    </row>
    <row r="24" spans="1:6" x14ac:dyDescent="0.3">
      <c r="A24" s="12">
        <v>2</v>
      </c>
      <c r="B24" s="17">
        <f t="shared" si="0"/>
        <v>81685.445122044126</v>
      </c>
      <c r="C24" s="17">
        <f t="shared" ref="C24:C32" si="1">C23-B23</f>
        <v>397164.11736214074</v>
      </c>
      <c r="D24" s="12"/>
      <c r="E24" s="12"/>
      <c r="F24" s="12"/>
    </row>
    <row r="25" spans="1:6" x14ac:dyDescent="0.3">
      <c r="A25" s="12">
        <v>3</v>
      </c>
      <c r="B25" s="17">
        <f t="shared" si="0"/>
        <v>64885.05542646048</v>
      </c>
      <c r="C25" s="17">
        <f t="shared" si="1"/>
        <v>315478.67224009661</v>
      </c>
      <c r="D25" s="12"/>
      <c r="E25" s="12"/>
      <c r="F25" s="12"/>
    </row>
    <row r="26" spans="1:6" x14ac:dyDescent="0.3">
      <c r="A26" s="12">
        <v>4</v>
      </c>
      <c r="B26" s="17">
        <f t="shared" si="0"/>
        <v>51540.031536887516</v>
      </c>
      <c r="C26" s="17">
        <f t="shared" si="1"/>
        <v>250593.61681363612</v>
      </c>
      <c r="D26" s="12"/>
      <c r="E26" s="12"/>
      <c r="F26" s="12"/>
    </row>
    <row r="27" spans="1:6" x14ac:dyDescent="0.3">
      <c r="A27" s="12">
        <v>5</v>
      </c>
      <c r="B27" s="17">
        <f t="shared" si="0"/>
        <v>40939.70226832966</v>
      </c>
      <c r="C27" s="17">
        <f t="shared" si="1"/>
        <v>199053.58527674861</v>
      </c>
      <c r="D27" s="12"/>
      <c r="E27" s="12"/>
      <c r="F27" s="12"/>
    </row>
    <row r="28" spans="1:6" x14ac:dyDescent="0.3">
      <c r="A28" s="12">
        <v>6</v>
      </c>
      <c r="B28" s="17">
        <f t="shared" si="0"/>
        <v>32519.561432939961</v>
      </c>
      <c r="C28" s="17">
        <f t="shared" si="1"/>
        <v>158113.88300841895</v>
      </c>
      <c r="D28" s="12"/>
      <c r="E28" s="12"/>
      <c r="F28" s="12"/>
    </row>
    <row r="29" spans="1:6" x14ac:dyDescent="0.3">
      <c r="A29" s="12">
        <v>7</v>
      </c>
      <c r="B29" s="17">
        <f t="shared" si="0"/>
        <v>25831.205827035024</v>
      </c>
      <c r="C29" s="17">
        <f t="shared" si="1"/>
        <v>125594.321575479</v>
      </c>
      <c r="D29" s="12"/>
      <c r="E29" s="12"/>
      <c r="F29" s="12"/>
    </row>
    <row r="30" spans="1:6" x14ac:dyDescent="0.3">
      <c r="A30" s="12">
        <v>8</v>
      </c>
      <c r="B30" s="17">
        <f t="shared" si="0"/>
        <v>20518.456125388308</v>
      </c>
      <c r="C30" s="17">
        <f t="shared" si="1"/>
        <v>99763.115748443975</v>
      </c>
      <c r="D30" s="12"/>
      <c r="E30" s="12"/>
      <c r="F30" s="12"/>
    </row>
    <row r="31" spans="1:6" x14ac:dyDescent="0.3">
      <c r="A31" s="12">
        <v>9</v>
      </c>
      <c r="B31" s="17">
        <f t="shared" si="0"/>
        <v>16298.389033347312</v>
      </c>
      <c r="C31" s="17">
        <f t="shared" si="1"/>
        <v>79244.659623055661</v>
      </c>
      <c r="D31" s="12"/>
      <c r="E31" s="12"/>
      <c r="F31" s="12"/>
    </row>
    <row r="32" spans="1:6" x14ac:dyDescent="0.3">
      <c r="A32" s="12">
        <v>10</v>
      </c>
      <c r="B32" s="17">
        <f t="shared" si="0"/>
        <v>12946.27058970836</v>
      </c>
      <c r="C32" s="17">
        <f t="shared" si="1"/>
        <v>62946.270589708351</v>
      </c>
      <c r="D32" s="12"/>
      <c r="E32" s="12"/>
      <c r="F32" s="12"/>
    </row>
    <row r="33" spans="1:6" x14ac:dyDescent="0.3">
      <c r="A33" s="12"/>
      <c r="B33" s="12"/>
      <c r="C33" s="12"/>
      <c r="D33" s="12"/>
      <c r="E33" s="12"/>
      <c r="F33" s="12"/>
    </row>
    <row r="34" spans="1:6" x14ac:dyDescent="0.3">
      <c r="A34" s="12"/>
      <c r="B34" s="12"/>
      <c r="C34" s="12"/>
      <c r="D34" s="12"/>
      <c r="E34" s="12"/>
      <c r="F34" s="12"/>
    </row>
    <row r="35" spans="1:6" x14ac:dyDescent="0.3">
      <c r="A35" s="24" t="s">
        <v>35</v>
      </c>
      <c r="B35" s="22"/>
      <c r="C35" s="22"/>
      <c r="D35" s="22"/>
      <c r="E35" s="22"/>
      <c r="F35" s="22"/>
    </row>
    <row r="36" spans="1:6" x14ac:dyDescent="0.3">
      <c r="A36" s="20" t="s">
        <v>36</v>
      </c>
      <c r="B36" s="20" t="s">
        <v>37</v>
      </c>
      <c r="C36" s="20" t="s">
        <v>38</v>
      </c>
      <c r="D36" s="12"/>
      <c r="E36" s="12"/>
      <c r="F36" s="12"/>
    </row>
    <row r="37" spans="1:6" x14ac:dyDescent="0.3">
      <c r="A37" s="13" t="s">
        <v>39</v>
      </c>
      <c r="B37" s="14">
        <f>B12</f>
        <v>45000</v>
      </c>
      <c r="C37" s="14">
        <f>B23</f>
        <v>102835.88263785925</v>
      </c>
      <c r="D37" s="12"/>
      <c r="E37" s="12"/>
      <c r="F37" s="12"/>
    </row>
    <row r="38" spans="1:6" x14ac:dyDescent="0.3">
      <c r="A38" s="13" t="s">
        <v>31</v>
      </c>
      <c r="B38" s="21">
        <f>B13</f>
        <v>0.09</v>
      </c>
      <c r="C38" s="21">
        <f>B19</f>
        <v>0.20567176527571851</v>
      </c>
      <c r="D38" s="12"/>
      <c r="E38" s="12"/>
      <c r="F38" s="12"/>
    </row>
    <row r="39" spans="1:6" x14ac:dyDescent="0.3">
      <c r="A39" s="13" t="s">
        <v>40</v>
      </c>
      <c r="B39" s="15" t="s">
        <v>41</v>
      </c>
      <c r="C39" s="15" t="s">
        <v>42</v>
      </c>
      <c r="D39" s="12"/>
      <c r="E39" s="12"/>
      <c r="F39" s="12"/>
    </row>
    <row r="40" spans="1:6" x14ac:dyDescent="0.3">
      <c r="A40" s="13" t="s">
        <v>28</v>
      </c>
      <c r="B40" s="14">
        <f>B15</f>
        <v>50000</v>
      </c>
      <c r="C40" s="14">
        <f>C32-B32</f>
        <v>49999.999999999993</v>
      </c>
      <c r="D40" s="12"/>
      <c r="E40" s="12"/>
      <c r="F40" s="12"/>
    </row>
    <row r="41" spans="1:6" x14ac:dyDescent="0.3">
      <c r="A41" s="12"/>
      <c r="B41" s="12"/>
      <c r="C41" s="12"/>
      <c r="D41" s="12"/>
      <c r="E41" s="12"/>
      <c r="F41" s="12"/>
    </row>
    <row r="42" spans="1:6" x14ac:dyDescent="0.3">
      <c r="A42" s="12"/>
      <c r="B42" s="12"/>
      <c r="C42" s="12"/>
      <c r="D42" s="12"/>
      <c r="E42" s="12"/>
      <c r="F42" s="12"/>
    </row>
    <row r="43" spans="1:6" x14ac:dyDescent="0.3">
      <c r="A43" s="24" t="s">
        <v>43</v>
      </c>
      <c r="B43" s="22"/>
      <c r="C43" s="22"/>
      <c r="D43" s="22"/>
      <c r="E43" s="22"/>
      <c r="F43" s="22"/>
    </row>
    <row r="44" spans="1:6" ht="30" customHeight="1" x14ac:dyDescent="0.3">
      <c r="A44" s="22" t="s">
        <v>44</v>
      </c>
      <c r="B44" s="22"/>
      <c r="C44" s="22"/>
      <c r="D44" s="22"/>
      <c r="E44" s="22"/>
      <c r="F44" s="22"/>
    </row>
    <row r="45" spans="1:6" ht="30" customHeight="1" x14ac:dyDescent="0.3">
      <c r="A45" s="22" t="s">
        <v>45</v>
      </c>
      <c r="B45" s="22"/>
      <c r="C45" s="22"/>
      <c r="D45" s="22"/>
      <c r="E45" s="22"/>
      <c r="F45" s="22"/>
    </row>
    <row r="46" spans="1:6" ht="30" customHeight="1" x14ac:dyDescent="0.3">
      <c r="A46" s="22" t="s">
        <v>46</v>
      </c>
      <c r="B46" s="22"/>
      <c r="C46" s="22"/>
      <c r="D46" s="22"/>
      <c r="E46" s="22"/>
      <c r="F46" s="22"/>
    </row>
    <row r="47" spans="1:6" ht="30" customHeight="1" x14ac:dyDescent="0.3">
      <c r="A47" s="22" t="s">
        <v>47</v>
      </c>
      <c r="B47" s="22"/>
      <c r="C47" s="22"/>
      <c r="D47" s="22"/>
      <c r="E47" s="22"/>
      <c r="F47" s="22"/>
    </row>
    <row r="48" spans="1:6" ht="30" customHeight="1" x14ac:dyDescent="0.3">
      <c r="A48" s="22" t="s">
        <v>48</v>
      </c>
      <c r="B48" s="22"/>
      <c r="C48" s="22"/>
      <c r="D48" s="22"/>
      <c r="E48" s="22"/>
      <c r="F48" s="22"/>
    </row>
    <row r="49" spans="1:6" ht="30" customHeight="1" x14ac:dyDescent="0.3">
      <c r="A49" s="22" t="s">
        <v>49</v>
      </c>
      <c r="B49" s="22"/>
      <c r="C49" s="22"/>
      <c r="D49" s="22"/>
      <c r="E49" s="22"/>
      <c r="F49" s="22"/>
    </row>
    <row r="50" spans="1:6" ht="30" customHeight="1" x14ac:dyDescent="0.3">
      <c r="A50" s="22" t="s">
        <v>50</v>
      </c>
      <c r="B50" s="22"/>
      <c r="C50" s="22"/>
      <c r="D50" s="22"/>
      <c r="E50" s="22"/>
      <c r="F50" s="22"/>
    </row>
    <row r="51" spans="1:6" ht="30" customHeight="1" x14ac:dyDescent="0.3">
      <c r="A51" s="22" t="s">
        <v>51</v>
      </c>
      <c r="B51" s="22"/>
      <c r="C51" s="22"/>
      <c r="D51" s="22"/>
      <c r="E51" s="22"/>
      <c r="F51" s="22"/>
    </row>
    <row r="52" spans="1:6" x14ac:dyDescent="0.3">
      <c r="A52" s="12"/>
      <c r="B52" s="12"/>
      <c r="C52" s="12"/>
      <c r="D52" s="12"/>
      <c r="E52" s="12"/>
      <c r="F52" s="12"/>
    </row>
    <row r="53" spans="1:6" x14ac:dyDescent="0.3">
      <c r="A53" s="24" t="s">
        <v>52</v>
      </c>
      <c r="B53" s="22"/>
      <c r="C53" s="22"/>
      <c r="D53" s="22"/>
      <c r="E53" s="22"/>
      <c r="F53" s="22"/>
    </row>
    <row r="54" spans="1:6" x14ac:dyDescent="0.3">
      <c r="A54" s="22" t="s">
        <v>53</v>
      </c>
      <c r="B54" s="22"/>
      <c r="C54" s="22"/>
      <c r="D54" s="22"/>
      <c r="E54" s="22"/>
      <c r="F54" s="22"/>
    </row>
    <row r="55" spans="1:6" x14ac:dyDescent="0.3">
      <c r="A55" s="22"/>
      <c r="B55" s="22"/>
      <c r="C55" s="22"/>
      <c r="D55" s="22"/>
      <c r="E55" s="22"/>
      <c r="F55" s="22"/>
    </row>
    <row r="56" spans="1:6" x14ac:dyDescent="0.3">
      <c r="A56" s="22"/>
      <c r="B56" s="22"/>
      <c r="C56" s="22"/>
      <c r="D56" s="22"/>
      <c r="E56" s="22"/>
      <c r="F56" s="22"/>
    </row>
  </sheetData>
  <mergeCells count="17">
    <mergeCell ref="A49:F49"/>
    <mergeCell ref="A50:F50"/>
    <mergeCell ref="A51:F51"/>
    <mergeCell ref="A53:F53"/>
    <mergeCell ref="A54:F56"/>
    <mergeCell ref="A48:F48"/>
    <mergeCell ref="A1:F1"/>
    <mergeCell ref="A3:F3"/>
    <mergeCell ref="A11:F11"/>
    <mergeCell ref="A18:F18"/>
    <mergeCell ref="A21:C21"/>
    <mergeCell ref="A35:F35"/>
    <mergeCell ref="A43:F43"/>
    <mergeCell ref="A44:F44"/>
    <mergeCell ref="A45:F45"/>
    <mergeCell ref="A46:F46"/>
    <mergeCell ref="A47:F4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6"/>
  <sheetViews>
    <sheetView topLeftCell="A6" workbookViewId="0">
      <selection activeCell="F24" sqref="F24"/>
    </sheetView>
  </sheetViews>
  <sheetFormatPr defaultColWidth="8.6640625" defaultRowHeight="18" x14ac:dyDescent="0.3"/>
  <cols>
    <col min="1" max="1" width="3.109375" style="1" customWidth="1"/>
    <col min="2" max="2" width="12.5546875" style="1" customWidth="1"/>
    <col min="3" max="3" width="79.88671875" style="1" customWidth="1"/>
    <col min="4" max="4" width="19.109375" style="1" bestFit="1" customWidth="1"/>
    <col min="5" max="5" width="3.33203125" style="1" customWidth="1"/>
    <col min="6" max="6" width="8.6640625" style="1"/>
    <col min="7" max="7" width="9" style="1" bestFit="1" customWidth="1"/>
    <col min="8" max="16384" width="8.6640625" style="1"/>
  </cols>
  <sheetData>
    <row r="1" spans="1:5" ht="9.9" customHeight="1" thickBot="1" x14ac:dyDescent="0.35">
      <c r="A1" s="9"/>
      <c r="B1" s="9"/>
      <c r="C1" s="9"/>
      <c r="D1" s="9"/>
      <c r="E1" s="9"/>
    </row>
    <row r="2" spans="1:5" ht="37.799999999999997" thickTop="1" thickBot="1" x14ac:dyDescent="0.35">
      <c r="A2" s="9"/>
      <c r="B2" s="32"/>
      <c r="C2" s="30" t="s">
        <v>19</v>
      </c>
      <c r="D2" s="30"/>
      <c r="E2" s="9"/>
    </row>
    <row r="3" spans="1:5" ht="25.8" thickTop="1" thickBot="1" x14ac:dyDescent="0.35">
      <c r="A3" s="9"/>
      <c r="B3" s="33"/>
      <c r="C3" s="31" t="s">
        <v>8</v>
      </c>
      <c r="D3" s="31"/>
      <c r="E3" s="9"/>
    </row>
    <row r="4" spans="1:5" ht="19.2" thickTop="1" thickBot="1" x14ac:dyDescent="0.35">
      <c r="A4" s="9"/>
      <c r="B4" s="5"/>
      <c r="C4" s="5"/>
      <c r="D4" s="5"/>
      <c r="E4" s="9"/>
    </row>
    <row r="5" spans="1:5" ht="25.8" thickTop="1" thickBot="1" x14ac:dyDescent="0.35">
      <c r="A5" s="9"/>
      <c r="B5" s="28" t="s">
        <v>17</v>
      </c>
      <c r="C5" s="28"/>
      <c r="D5" s="28"/>
      <c r="E5" s="9"/>
    </row>
    <row r="6" spans="1:5" ht="19.2" thickTop="1" thickBot="1" x14ac:dyDescent="0.35">
      <c r="A6" s="9"/>
      <c r="B6" s="26" t="s">
        <v>11</v>
      </c>
      <c r="C6" s="27"/>
      <c r="D6" s="10">
        <v>450000</v>
      </c>
      <c r="E6" s="9"/>
    </row>
    <row r="7" spans="1:5" ht="19.2" thickTop="1" thickBot="1" x14ac:dyDescent="0.35">
      <c r="A7" s="9"/>
      <c r="B7" s="26" t="s">
        <v>13</v>
      </c>
      <c r="C7" s="27"/>
      <c r="D7" s="10">
        <v>50000</v>
      </c>
      <c r="E7" s="9"/>
    </row>
    <row r="8" spans="1:5" ht="19.2" thickTop="1" thickBot="1" x14ac:dyDescent="0.35">
      <c r="A8" s="9"/>
      <c r="B8" s="26" t="s">
        <v>0</v>
      </c>
      <c r="C8" s="27"/>
      <c r="D8" s="4">
        <f>SUM(D6:D7)</f>
        <v>500000</v>
      </c>
      <c r="E8" s="9"/>
    </row>
    <row r="9" spans="1:5" ht="19.2" thickTop="1" thickBot="1" x14ac:dyDescent="0.35">
      <c r="A9" s="9"/>
      <c r="B9" s="26" t="s">
        <v>1</v>
      </c>
      <c r="C9" s="27"/>
      <c r="D9" s="10">
        <v>50000</v>
      </c>
      <c r="E9" s="9"/>
    </row>
    <row r="10" spans="1:5" ht="19.2" thickTop="1" thickBot="1" x14ac:dyDescent="0.35">
      <c r="A10" s="9"/>
      <c r="B10" s="26" t="s">
        <v>2</v>
      </c>
      <c r="C10" s="27"/>
      <c r="D10" s="11">
        <v>10</v>
      </c>
      <c r="E10" s="9"/>
    </row>
    <row r="11" spans="1:5" ht="19.2" thickTop="1" thickBot="1" x14ac:dyDescent="0.35">
      <c r="A11" s="9"/>
      <c r="B11" s="29" t="s">
        <v>9</v>
      </c>
      <c r="C11" s="29"/>
      <c r="D11" s="4">
        <f>IF(D8="", "", SLN($D$8,$D$9,$D$10))</f>
        <v>45000</v>
      </c>
      <c r="E11" s="9"/>
    </row>
    <row r="12" spans="1:5" ht="19.2" thickTop="1" thickBot="1" x14ac:dyDescent="0.35">
      <c r="A12" s="9"/>
      <c r="B12" s="29" t="s">
        <v>12</v>
      </c>
      <c r="C12" s="29"/>
      <c r="D12" s="6">
        <f>IFERROR(D11/D8,"")</f>
        <v>0.09</v>
      </c>
      <c r="E12" s="9"/>
    </row>
    <row r="13" spans="1:5" ht="19.2" thickTop="1" thickBot="1" x14ac:dyDescent="0.35">
      <c r="A13" s="9"/>
      <c r="B13" s="26" t="s">
        <v>5</v>
      </c>
      <c r="C13" s="27"/>
      <c r="D13" s="3">
        <f>IF(D8="", "", D11*D10)</f>
        <v>450000</v>
      </c>
      <c r="E13" s="9"/>
    </row>
    <row r="14" spans="1:5" ht="19.2" thickTop="1" thickBot="1" x14ac:dyDescent="0.35">
      <c r="A14" s="9"/>
      <c r="B14" s="26" t="s">
        <v>4</v>
      </c>
      <c r="C14" s="27"/>
      <c r="D14" s="3">
        <f>IF(D8="", "", D8-D13)</f>
        <v>50000</v>
      </c>
      <c r="E14" s="9"/>
    </row>
    <row r="15" spans="1:5" ht="19.2" thickTop="1" thickBot="1" x14ac:dyDescent="0.35">
      <c r="A15" s="9"/>
      <c r="B15" s="26" t="s">
        <v>6</v>
      </c>
      <c r="C15" s="27"/>
      <c r="D15" s="3">
        <f>IF(D8="", "", D9-D14)</f>
        <v>0</v>
      </c>
      <c r="E15" s="9"/>
    </row>
    <row r="16" spans="1:5" ht="19.2" thickTop="1" thickBot="1" x14ac:dyDescent="0.35">
      <c r="A16" s="9"/>
      <c r="B16" s="5"/>
      <c r="C16" s="5"/>
      <c r="D16" s="5"/>
      <c r="E16" s="9"/>
    </row>
    <row r="17" spans="1:5" ht="25.8" thickTop="1" thickBot="1" x14ac:dyDescent="0.35">
      <c r="A17" s="9"/>
      <c r="B17" s="28" t="s">
        <v>16</v>
      </c>
      <c r="C17" s="28"/>
      <c r="D17" s="28"/>
      <c r="E17" s="9"/>
    </row>
    <row r="18" spans="1:5" ht="18.899999999999999" customHeight="1" thickTop="1" thickBot="1" x14ac:dyDescent="0.35">
      <c r="A18" s="9"/>
      <c r="B18" s="29" t="s">
        <v>11</v>
      </c>
      <c r="C18" s="29"/>
      <c r="D18" s="10">
        <v>450000</v>
      </c>
      <c r="E18" s="9"/>
    </row>
    <row r="19" spans="1:5" ht="18.899999999999999" customHeight="1" thickTop="1" thickBot="1" x14ac:dyDescent="0.35">
      <c r="A19" s="9"/>
      <c r="B19" s="29" t="s">
        <v>14</v>
      </c>
      <c r="C19" s="29"/>
      <c r="D19" s="10">
        <v>50000</v>
      </c>
      <c r="E19" s="9"/>
    </row>
    <row r="20" spans="1:5" ht="18.899999999999999" customHeight="1" thickTop="1" thickBot="1" x14ac:dyDescent="0.35">
      <c r="A20" s="9"/>
      <c r="B20" s="29" t="s">
        <v>0</v>
      </c>
      <c r="C20" s="29"/>
      <c r="D20" s="4">
        <f>SUM(D18:D19)</f>
        <v>500000</v>
      </c>
      <c r="E20" s="9"/>
    </row>
    <row r="21" spans="1:5" ht="18.899999999999999" customHeight="1" thickTop="1" thickBot="1" x14ac:dyDescent="0.35">
      <c r="A21" s="9"/>
      <c r="B21" s="29" t="s">
        <v>1</v>
      </c>
      <c r="C21" s="29"/>
      <c r="D21" s="10">
        <v>50000</v>
      </c>
      <c r="E21" s="9"/>
    </row>
    <row r="22" spans="1:5" ht="18.899999999999999" customHeight="1" thickTop="1" thickBot="1" x14ac:dyDescent="0.35">
      <c r="A22" s="9"/>
      <c r="B22" s="29" t="s">
        <v>2</v>
      </c>
      <c r="C22" s="29"/>
      <c r="D22" s="11">
        <v>10</v>
      </c>
      <c r="E22" s="9"/>
    </row>
    <row r="23" spans="1:5" ht="18.899999999999999" customHeight="1" thickTop="1" thickBot="1" x14ac:dyDescent="0.35">
      <c r="A23" s="9"/>
      <c r="B23" s="34" t="s">
        <v>10</v>
      </c>
      <c r="C23" s="34"/>
      <c r="D23" s="6">
        <f>IF(D20="","",1-(D21/D20)^(1/D22))</f>
        <v>0.20567176527571851</v>
      </c>
      <c r="E23" s="9"/>
    </row>
    <row r="24" spans="1:5" ht="24" thickTop="1" thickBot="1" x14ac:dyDescent="0.35">
      <c r="A24" s="9"/>
      <c r="B24" s="35" t="s">
        <v>15</v>
      </c>
      <c r="C24" s="35"/>
      <c r="D24" s="35"/>
      <c r="E24" s="9"/>
    </row>
    <row r="25" spans="1:5" ht="19.2" thickTop="1" thickBot="1" x14ac:dyDescent="0.35">
      <c r="A25" s="9"/>
      <c r="B25" s="7" t="s">
        <v>7</v>
      </c>
      <c r="C25" s="7" t="s">
        <v>18</v>
      </c>
      <c r="D25" s="7" t="s">
        <v>3</v>
      </c>
      <c r="E25" s="9"/>
    </row>
    <row r="26" spans="1:5" ht="19.2" thickTop="1" thickBot="1" x14ac:dyDescent="0.35">
      <c r="A26" s="9"/>
      <c r="B26" s="2">
        <v>1</v>
      </c>
      <c r="C26" s="8">
        <f>IFERROR(IF(D26&gt;$D$21,D26*$D$23,""),"")</f>
        <v>102835.88263785925</v>
      </c>
      <c r="D26" s="8">
        <f>$D$20</f>
        <v>500000</v>
      </c>
      <c r="E26" s="9"/>
    </row>
    <row r="27" spans="1:5" ht="19.2" thickTop="1" thickBot="1" x14ac:dyDescent="0.35">
      <c r="A27" s="9"/>
      <c r="B27" s="2">
        <v>2</v>
      </c>
      <c r="C27" s="8">
        <f t="shared" ref="C27:C45" si="0">IFERROR(IF(D27&gt;$D$21,D27*$D$23,""),"")</f>
        <v>81685.445122044126</v>
      </c>
      <c r="D27" s="8">
        <f t="shared" ref="D27:D45" si="1">IFERROR(D26-C26, "")</f>
        <v>397164.11736214074</v>
      </c>
      <c r="E27" s="9"/>
    </row>
    <row r="28" spans="1:5" ht="19.2" thickTop="1" thickBot="1" x14ac:dyDescent="0.35">
      <c r="A28" s="9"/>
      <c r="B28" s="2">
        <v>3</v>
      </c>
      <c r="C28" s="8">
        <f t="shared" si="0"/>
        <v>64885.05542646048</v>
      </c>
      <c r="D28" s="8">
        <f t="shared" si="1"/>
        <v>315478.67224009661</v>
      </c>
      <c r="E28" s="9"/>
    </row>
    <row r="29" spans="1:5" ht="19.2" thickTop="1" thickBot="1" x14ac:dyDescent="0.35">
      <c r="A29" s="9"/>
      <c r="B29" s="2">
        <v>4</v>
      </c>
      <c r="C29" s="8">
        <f t="shared" si="0"/>
        <v>51540.031536887516</v>
      </c>
      <c r="D29" s="8">
        <f t="shared" si="1"/>
        <v>250593.61681363612</v>
      </c>
      <c r="E29" s="9"/>
    </row>
    <row r="30" spans="1:5" ht="19.2" thickTop="1" thickBot="1" x14ac:dyDescent="0.35">
      <c r="A30" s="9"/>
      <c r="B30" s="2">
        <v>5</v>
      </c>
      <c r="C30" s="8">
        <f t="shared" si="0"/>
        <v>40939.70226832966</v>
      </c>
      <c r="D30" s="8">
        <f t="shared" si="1"/>
        <v>199053.58527674861</v>
      </c>
      <c r="E30" s="9"/>
    </row>
    <row r="31" spans="1:5" ht="19.2" thickTop="1" thickBot="1" x14ac:dyDescent="0.35">
      <c r="A31" s="9"/>
      <c r="B31" s="2">
        <v>6</v>
      </c>
      <c r="C31" s="8">
        <f t="shared" si="0"/>
        <v>32519.561432939961</v>
      </c>
      <c r="D31" s="8">
        <f t="shared" si="1"/>
        <v>158113.88300841895</v>
      </c>
      <c r="E31" s="9"/>
    </row>
    <row r="32" spans="1:5" ht="19.2" thickTop="1" thickBot="1" x14ac:dyDescent="0.35">
      <c r="A32" s="9"/>
      <c r="B32" s="2">
        <v>7</v>
      </c>
      <c r="C32" s="8">
        <f t="shared" si="0"/>
        <v>25831.205827035024</v>
      </c>
      <c r="D32" s="8">
        <f t="shared" si="1"/>
        <v>125594.321575479</v>
      </c>
      <c r="E32" s="9"/>
    </row>
    <row r="33" spans="1:5" ht="19.2" thickTop="1" thickBot="1" x14ac:dyDescent="0.35">
      <c r="A33" s="9"/>
      <c r="B33" s="2">
        <v>8</v>
      </c>
      <c r="C33" s="8">
        <f t="shared" si="0"/>
        <v>20518.456125388308</v>
      </c>
      <c r="D33" s="8">
        <f t="shared" si="1"/>
        <v>99763.115748443975</v>
      </c>
      <c r="E33" s="9"/>
    </row>
    <row r="34" spans="1:5" ht="19.2" thickTop="1" thickBot="1" x14ac:dyDescent="0.35">
      <c r="A34" s="9"/>
      <c r="B34" s="2">
        <v>9</v>
      </c>
      <c r="C34" s="8">
        <f t="shared" si="0"/>
        <v>16298.389033347312</v>
      </c>
      <c r="D34" s="8">
        <f t="shared" si="1"/>
        <v>79244.659623055661</v>
      </c>
      <c r="E34" s="9"/>
    </row>
    <row r="35" spans="1:5" ht="19.2" thickTop="1" thickBot="1" x14ac:dyDescent="0.35">
      <c r="A35" s="9"/>
      <c r="B35" s="2">
        <v>10</v>
      </c>
      <c r="C35" s="8">
        <f t="shared" si="0"/>
        <v>12946.27058970836</v>
      </c>
      <c r="D35" s="8">
        <f t="shared" si="1"/>
        <v>62946.270589708351</v>
      </c>
      <c r="E35" s="9"/>
    </row>
    <row r="36" spans="1:5" ht="19.2" thickTop="1" thickBot="1" x14ac:dyDescent="0.35">
      <c r="A36" s="9"/>
      <c r="B36" s="2"/>
      <c r="C36" s="8" t="s">
        <v>56</v>
      </c>
      <c r="D36" s="8">
        <f t="shared" si="1"/>
        <v>49999.999999999993</v>
      </c>
      <c r="E36" s="9"/>
    </row>
    <row r="37" spans="1:5" ht="19.2" thickTop="1" thickBot="1" x14ac:dyDescent="0.35">
      <c r="A37" s="9"/>
      <c r="B37" s="2"/>
      <c r="C37" s="8"/>
      <c r="D37" s="8"/>
      <c r="E37" s="9"/>
    </row>
    <row r="38" spans="1:5" ht="19.2" thickTop="1" thickBot="1" x14ac:dyDescent="0.35">
      <c r="A38" s="9"/>
      <c r="B38" s="2"/>
      <c r="C38" s="8"/>
      <c r="D38" s="8"/>
      <c r="E38" s="9"/>
    </row>
    <row r="39" spans="1:5" ht="19.2" thickTop="1" thickBot="1" x14ac:dyDescent="0.35">
      <c r="A39" s="9"/>
      <c r="B39" s="2"/>
      <c r="C39" s="8"/>
      <c r="D39" s="8"/>
      <c r="E39" s="9"/>
    </row>
    <row r="40" spans="1:5" ht="19.2" thickTop="1" thickBot="1" x14ac:dyDescent="0.35">
      <c r="A40" s="9"/>
      <c r="B40" s="2"/>
      <c r="C40" s="8"/>
      <c r="D40" s="8"/>
      <c r="E40" s="9"/>
    </row>
    <row r="41" spans="1:5" ht="19.2" thickTop="1" thickBot="1" x14ac:dyDescent="0.35">
      <c r="A41" s="9"/>
      <c r="B41" s="2"/>
      <c r="C41" s="8"/>
      <c r="D41" s="8"/>
      <c r="E41" s="9"/>
    </row>
    <row r="42" spans="1:5" ht="19.2" thickTop="1" thickBot="1" x14ac:dyDescent="0.35">
      <c r="A42" s="9"/>
      <c r="B42" s="2"/>
      <c r="C42" s="8"/>
      <c r="D42" s="8"/>
      <c r="E42" s="9"/>
    </row>
    <row r="43" spans="1:5" ht="19.2" thickTop="1" thickBot="1" x14ac:dyDescent="0.35">
      <c r="A43" s="9"/>
      <c r="B43" s="2"/>
      <c r="C43" s="8"/>
      <c r="D43" s="8"/>
      <c r="E43" s="9"/>
    </row>
    <row r="44" spans="1:5" ht="19.2" thickTop="1" thickBot="1" x14ac:dyDescent="0.35">
      <c r="A44" s="9"/>
      <c r="B44" s="2"/>
      <c r="C44" s="8"/>
      <c r="D44" s="8"/>
      <c r="E44" s="9"/>
    </row>
    <row r="45" spans="1:5" ht="19.2" thickTop="1" thickBot="1" x14ac:dyDescent="0.35">
      <c r="A45" s="9"/>
      <c r="B45" s="2"/>
      <c r="C45" s="8"/>
      <c r="D45" s="8"/>
      <c r="E45" s="9"/>
    </row>
    <row r="46" spans="1:5" ht="18.600000000000001" thickTop="1" x14ac:dyDescent="0.3">
      <c r="A46" s="9"/>
      <c r="B46" s="9"/>
      <c r="C46" s="9"/>
      <c r="D46" s="9"/>
      <c r="E46" s="9"/>
    </row>
  </sheetData>
  <mergeCells count="22">
    <mergeCell ref="B23:C23"/>
    <mergeCell ref="B24:D24"/>
    <mergeCell ref="B12:C12"/>
    <mergeCell ref="B18:C18"/>
    <mergeCell ref="B19:C19"/>
    <mergeCell ref="B20:C20"/>
    <mergeCell ref="B21:C21"/>
    <mergeCell ref="B22:C22"/>
    <mergeCell ref="C2:D2"/>
    <mergeCell ref="C3:D3"/>
    <mergeCell ref="B2:B3"/>
    <mergeCell ref="B6:C6"/>
    <mergeCell ref="B7:C7"/>
    <mergeCell ref="B5:D5"/>
    <mergeCell ref="B8:C8"/>
    <mergeCell ref="B9:C9"/>
    <mergeCell ref="B10:C10"/>
    <mergeCell ref="B17:D17"/>
    <mergeCell ref="B11:C11"/>
    <mergeCell ref="B13:C13"/>
    <mergeCell ref="B14:C14"/>
    <mergeCell ref="B15:C15"/>
  </mergeCells>
  <printOptions horizontalCentered="1" verticalCentered="1"/>
  <pageMargins left="0.19685039370078741" right="0.19685039370078741" top="0.19685039370078741" bottom="0.19685039370078741" header="0.31496062992125984" footer="0.31496062992125984"/>
  <pageSetup paperSize="9" orientation="portrait" horizontalDpi="300"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C0164-CC71-4B2F-A69F-F02EBEF06471}">
  <dimension ref="A1:D12"/>
  <sheetViews>
    <sheetView workbookViewId="0">
      <selection activeCell="O9" sqref="O9"/>
    </sheetView>
  </sheetViews>
  <sheetFormatPr defaultRowHeight="14.4" x14ac:dyDescent="0.3"/>
  <cols>
    <col min="1" max="1" width="4.6640625" style="36" bestFit="1" customWidth="1"/>
    <col min="2" max="2" width="24.77734375" style="36" bestFit="1" customWidth="1"/>
    <col min="3" max="3" width="18.109375" style="36" bestFit="1" customWidth="1"/>
    <col min="4" max="4" width="31.77734375" style="36" bestFit="1" customWidth="1"/>
    <col min="5" max="16384" width="8.88671875" style="36"/>
  </cols>
  <sheetData>
    <row r="1" spans="1:4" ht="15.6" thickTop="1" thickBot="1" x14ac:dyDescent="0.35">
      <c r="A1" s="37" t="s">
        <v>7</v>
      </c>
      <c r="B1" s="37" t="s">
        <v>54</v>
      </c>
      <c r="C1" s="37" t="s">
        <v>17</v>
      </c>
      <c r="D1" s="37" t="s">
        <v>55</v>
      </c>
    </row>
    <row r="2" spans="1:4" ht="15.6" thickTop="1" thickBot="1" x14ac:dyDescent="0.35">
      <c r="A2" s="38">
        <v>1</v>
      </c>
      <c r="B2" s="38">
        <v>102835.88263785925</v>
      </c>
      <c r="C2" s="38">
        <v>45000</v>
      </c>
      <c r="D2" s="38">
        <f>B2-C2</f>
        <v>57835.882637859249</v>
      </c>
    </row>
    <row r="3" spans="1:4" ht="15.6" thickTop="1" thickBot="1" x14ac:dyDescent="0.35">
      <c r="A3" s="38">
        <v>2</v>
      </c>
      <c r="B3" s="38">
        <v>81685.445122044126</v>
      </c>
      <c r="C3" s="38">
        <v>45000</v>
      </c>
      <c r="D3" s="38">
        <f>B3-C3</f>
        <v>36685.445122044126</v>
      </c>
    </row>
    <row r="4" spans="1:4" ht="15.6" thickTop="1" thickBot="1" x14ac:dyDescent="0.35">
      <c r="A4" s="38">
        <v>3</v>
      </c>
      <c r="B4" s="38">
        <v>64885.05542646048</v>
      </c>
      <c r="C4" s="38">
        <v>45000</v>
      </c>
      <c r="D4" s="38">
        <f t="shared" ref="D3:D11" si="0">B4-C4</f>
        <v>19885.05542646048</v>
      </c>
    </row>
    <row r="5" spans="1:4" ht="15.6" thickTop="1" thickBot="1" x14ac:dyDescent="0.35">
      <c r="A5" s="38">
        <v>4</v>
      </c>
      <c r="B5" s="38">
        <v>51540.031536887516</v>
      </c>
      <c r="C5" s="38">
        <v>45000</v>
      </c>
      <c r="D5" s="38">
        <f t="shared" si="0"/>
        <v>6540.0315368875163</v>
      </c>
    </row>
    <row r="6" spans="1:4" ht="15.6" thickTop="1" thickBot="1" x14ac:dyDescent="0.35">
      <c r="A6" s="38">
        <v>5</v>
      </c>
      <c r="B6" s="38">
        <v>40939.70226832966</v>
      </c>
      <c r="C6" s="38">
        <v>45000</v>
      </c>
      <c r="D6" s="38">
        <f t="shared" si="0"/>
        <v>-4060.29773167034</v>
      </c>
    </row>
    <row r="7" spans="1:4" ht="15.6" thickTop="1" thickBot="1" x14ac:dyDescent="0.35">
      <c r="A7" s="38">
        <v>6</v>
      </c>
      <c r="B7" s="38">
        <v>32519.561432939961</v>
      </c>
      <c r="C7" s="38">
        <v>45000</v>
      </c>
      <c r="D7" s="38">
        <f t="shared" si="0"/>
        <v>-12480.438567060039</v>
      </c>
    </row>
    <row r="8" spans="1:4" ht="15.6" thickTop="1" thickBot="1" x14ac:dyDescent="0.35">
      <c r="A8" s="38">
        <v>7</v>
      </c>
      <c r="B8" s="38">
        <v>25831.205827035024</v>
      </c>
      <c r="C8" s="38">
        <v>45000</v>
      </c>
      <c r="D8" s="38">
        <f t="shared" si="0"/>
        <v>-19168.794172964976</v>
      </c>
    </row>
    <row r="9" spans="1:4" ht="15.6" thickTop="1" thickBot="1" x14ac:dyDescent="0.35">
      <c r="A9" s="38">
        <v>8</v>
      </c>
      <c r="B9" s="38">
        <v>20518.456125388308</v>
      </c>
      <c r="C9" s="38">
        <v>45000</v>
      </c>
      <c r="D9" s="38">
        <f t="shared" si="0"/>
        <v>-24481.543874611692</v>
      </c>
    </row>
    <row r="10" spans="1:4" ht="15.6" thickTop="1" thickBot="1" x14ac:dyDescent="0.35">
      <c r="A10" s="38">
        <v>9</v>
      </c>
      <c r="B10" s="38">
        <v>16298.389033347312</v>
      </c>
      <c r="C10" s="38">
        <v>45000</v>
      </c>
      <c r="D10" s="38">
        <f t="shared" si="0"/>
        <v>-28701.61096665269</v>
      </c>
    </row>
    <row r="11" spans="1:4" ht="15.6" thickTop="1" thickBot="1" x14ac:dyDescent="0.35">
      <c r="A11" s="38">
        <v>10</v>
      </c>
      <c r="B11" s="38">
        <v>12946.27058970836</v>
      </c>
      <c r="C11" s="38">
        <v>45000</v>
      </c>
      <c r="D11" s="38">
        <f t="shared" si="0"/>
        <v>-32053.729410291642</v>
      </c>
    </row>
    <row r="12" spans="1:4" ht="15" thickTop="1"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Information</vt:lpstr>
      <vt:lpstr>Summary report</vt:lpstr>
      <vt:lpstr>Depreciation Calculator</vt:lpstr>
      <vt:lpstr>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Fahim;ExcelDataPro</dc:creator>
  <cp:keywords>Depreciation Calculator Excel Template;www.ExcelDataPro.com</cp:keywords>
  <cp:lastModifiedBy>Neeraj Taneja</cp:lastModifiedBy>
  <cp:lastPrinted>2019-12-30T11:34:18Z</cp:lastPrinted>
  <dcterms:created xsi:type="dcterms:W3CDTF">2019-12-30T10:28:43Z</dcterms:created>
  <dcterms:modified xsi:type="dcterms:W3CDTF">2026-10-10T06:43:46Z</dcterms:modified>
</cp:coreProperties>
</file>